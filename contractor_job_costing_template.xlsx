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-&quot;$&quot;#,##0.00"/>
    <numFmt numFmtId="165" formatCode="0.0%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i val="1"/>
      <color rgb="00607080"/>
      <sz val="9"/>
    </font>
    <font>
      <b val="1"/>
      <color rgb="00FFFFFF"/>
    </font>
    <font>
      <b val="1"/>
      <color rgb="0017324D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78A5"/>
      </patternFill>
    </fill>
    <fill>
      <patternFill patternType="solid">
        <fgColor rgb="00EA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3" customWidth="1" min="4" max="4"/>
    <col width="15" customWidth="1" min="5" max="5"/>
    <col width="16" customWidth="1" min="6" max="6"/>
    <col width="14" customWidth="1" min="7" max="7"/>
    <col width="24" customWidth="1" min="8" max="8"/>
  </cols>
  <sheetData>
    <row r="1" ht="34" customHeight="1">
      <c r="A1" s="1" t="inlineStr">
        <is>
          <t>NORTHSHORE ELECTRIC • JOB COSTING</t>
        </is>
      </c>
    </row>
    <row r="2">
      <c r="A2" s="2" t="inlineStr">
        <is>
          <t>PORTFOLIO DEMO — Fictional project. Replace sample data before use.</t>
        </is>
      </c>
    </row>
    <row r="4">
      <c r="A4" t="inlineStr">
        <is>
          <t>Project</t>
        </is>
      </c>
      <c r="B4" t="inlineStr">
        <is>
          <t>Sample heat-pump electrical rough-in</t>
        </is>
      </c>
      <c r="D4" t="inlineStr">
        <is>
          <t>Quote amount</t>
        </is>
      </c>
      <c r="E4" s="3" t="n">
        <v>2500</v>
      </c>
      <c r="G4" t="inlineStr">
        <is>
          <t>Target margin</t>
        </is>
      </c>
      <c r="H4" s="4" t="n">
        <v>0.3</v>
      </c>
    </row>
    <row r="6" ht="25" customHeight="1">
      <c r="A6" s="5" t="inlineStr">
        <is>
          <t>Date</t>
        </is>
      </c>
      <c r="B6" s="5" t="inlineStr">
        <is>
          <t>Cost category</t>
        </is>
      </c>
      <c r="C6" s="5" t="inlineStr">
        <is>
          <t>Description</t>
        </is>
      </c>
      <c r="D6" s="5" t="inlineStr">
        <is>
          <t>Qty / hrs</t>
        </is>
      </c>
      <c r="E6" s="5" t="inlineStr">
        <is>
          <t>Unit cost</t>
        </is>
      </c>
      <c r="F6" s="5" t="inlineStr">
        <is>
          <t>Actual cost</t>
        </is>
      </c>
      <c r="G6" s="5" t="inlineStr">
        <is>
          <t>Billable?</t>
        </is>
      </c>
      <c r="H6" s="5" t="inlineStr">
        <is>
          <t>Notes</t>
        </is>
      </c>
    </row>
    <row r="7">
      <c r="A7" t="inlineStr">
        <is>
          <t>2026-10-01</t>
        </is>
      </c>
      <c r="B7" t="inlineStr">
        <is>
          <t>Labour</t>
        </is>
      </c>
      <c r="C7" t="inlineStr">
        <is>
          <t>Journeyperson labour</t>
        </is>
      </c>
      <c r="D7" t="n">
        <v>6</v>
      </c>
      <c r="E7" s="3" t="n">
        <v>42</v>
      </c>
      <c r="F7" s="3">
        <f>D7*E7</f>
        <v/>
      </c>
      <c r="G7" t="inlineStr">
        <is>
          <t>Yes</t>
        </is>
      </c>
      <c r="H7" t="inlineStr">
        <is>
          <t>Example only</t>
        </is>
      </c>
    </row>
    <row r="8">
      <c r="A8" t="inlineStr">
        <is>
          <t>2026-10-01</t>
        </is>
      </c>
      <c r="B8" t="inlineStr">
        <is>
          <t>Materials</t>
        </is>
      </c>
      <c r="C8" t="inlineStr">
        <is>
          <t>Cable, fittings, breakers</t>
        </is>
      </c>
      <c r="D8" t="n">
        <v>1</v>
      </c>
      <c r="E8" s="3" t="n">
        <v>380</v>
      </c>
      <c r="F8" s="3">
        <f>D8*E8</f>
        <v/>
      </c>
      <c r="G8" t="inlineStr">
        <is>
          <t>Yes</t>
        </is>
      </c>
      <c r="H8" t="inlineStr">
        <is>
          <t>Example only</t>
        </is>
      </c>
    </row>
    <row r="9">
      <c r="A9" t="inlineStr">
        <is>
          <t>2026-10-02</t>
        </is>
      </c>
      <c r="B9" t="inlineStr">
        <is>
          <t>Vehicle</t>
        </is>
      </c>
      <c r="C9" t="inlineStr">
        <is>
          <t>Travel / fuel</t>
        </is>
      </c>
      <c r="D9" t="n">
        <v>1</v>
      </c>
      <c r="E9" s="3" t="n">
        <v>35</v>
      </c>
      <c r="F9" s="3">
        <f>D9*E9</f>
        <v/>
      </c>
      <c r="G9" t="inlineStr">
        <is>
          <t>No</t>
        </is>
      </c>
      <c r="H9" t="inlineStr">
        <is>
          <t>Example only</t>
        </is>
      </c>
    </row>
    <row r="10">
      <c r="A10" t="inlineStr">
        <is>
          <t>2026-10-02</t>
        </is>
      </c>
      <c r="B10" t="inlineStr">
        <is>
          <t>Permit</t>
        </is>
      </c>
      <c r="C10" t="inlineStr">
        <is>
          <t>Permit fee</t>
        </is>
      </c>
      <c r="D10" t="n">
        <v>1</v>
      </c>
      <c r="E10" s="3" t="n">
        <v>95</v>
      </c>
      <c r="F10" s="3">
        <f>D10*E10</f>
        <v/>
      </c>
      <c r="G10" t="inlineStr">
        <is>
          <t>Yes</t>
        </is>
      </c>
      <c r="H10" t="inlineStr">
        <is>
          <t>Example only</t>
        </is>
      </c>
    </row>
    <row r="11">
      <c r="D11" t="n">
        <v>0</v>
      </c>
      <c r="E11" s="3" t="n">
        <v>0</v>
      </c>
      <c r="F11" s="3">
        <f>D11*E11</f>
        <v/>
      </c>
    </row>
    <row r="12">
      <c r="D12" t="n">
        <v>0</v>
      </c>
      <c r="E12" s="3" t="n">
        <v>0</v>
      </c>
      <c r="F12" s="3">
        <f>D12*E12</f>
        <v/>
      </c>
    </row>
    <row r="13">
      <c r="D13" t="n">
        <v>0</v>
      </c>
      <c r="E13" s="3" t="n">
        <v>0</v>
      </c>
      <c r="F13" s="3">
        <f>D13*E13</f>
        <v/>
      </c>
    </row>
    <row r="14">
      <c r="D14" t="n">
        <v>0</v>
      </c>
      <c r="E14" s="3" t="n">
        <v>0</v>
      </c>
      <c r="F14" s="3">
        <f>D14*E14</f>
        <v/>
      </c>
    </row>
    <row r="15">
      <c r="D15" t="n">
        <v>0</v>
      </c>
      <c r="E15" s="3" t="n">
        <v>0</v>
      </c>
      <c r="F15" s="3">
        <f>D15*E15</f>
        <v/>
      </c>
    </row>
    <row r="16">
      <c r="D16" t="n">
        <v>0</v>
      </c>
      <c r="E16" s="3" t="n">
        <v>0</v>
      </c>
      <c r="F16" s="3">
        <f>D16*E16</f>
        <v/>
      </c>
    </row>
    <row r="17">
      <c r="D17" t="n">
        <v>0</v>
      </c>
      <c r="E17" s="3" t="n">
        <v>0</v>
      </c>
      <c r="F17" s="3">
        <f>D17*E17</f>
        <v/>
      </c>
    </row>
    <row r="18">
      <c r="D18" t="n">
        <v>0</v>
      </c>
      <c r="E18" s="3" t="n">
        <v>0</v>
      </c>
      <c r="F18" s="3">
        <f>D18*E18</f>
        <v/>
      </c>
    </row>
    <row r="19">
      <c r="D19" t="n">
        <v>0</v>
      </c>
      <c r="E19" s="3" t="n">
        <v>0</v>
      </c>
      <c r="F19" s="3">
        <f>D19*E19</f>
        <v/>
      </c>
    </row>
    <row r="20">
      <c r="D20" t="n">
        <v>0</v>
      </c>
      <c r="E20" s="3" t="n">
        <v>0</v>
      </c>
      <c r="F20" s="3">
        <f>D20*E20</f>
        <v/>
      </c>
    </row>
    <row r="21">
      <c r="D21" t="n">
        <v>0</v>
      </c>
      <c r="E21" s="3" t="n">
        <v>0</v>
      </c>
      <c r="F21" s="3">
        <f>D21*E21</f>
        <v/>
      </c>
    </row>
    <row r="22">
      <c r="D22" t="n">
        <v>0</v>
      </c>
      <c r="E22" s="3" t="n">
        <v>0</v>
      </c>
      <c r="F22" s="3">
        <f>D22*E22</f>
        <v/>
      </c>
    </row>
    <row r="23">
      <c r="D23" t="n">
        <v>0</v>
      </c>
      <c r="E23" s="3" t="n">
        <v>0</v>
      </c>
      <c r="F23" s="3">
        <f>D23*E23</f>
        <v/>
      </c>
    </row>
    <row r="24">
      <c r="D24" t="n">
        <v>0</v>
      </c>
      <c r="E24" s="3" t="n">
        <v>0</v>
      </c>
      <c r="F24" s="3">
        <f>D24*E24</f>
        <v/>
      </c>
    </row>
    <row r="25">
      <c r="D25" t="n">
        <v>0</v>
      </c>
      <c r="E25" s="3" t="n">
        <v>0</v>
      </c>
      <c r="F25" s="3">
        <f>D25*E25</f>
        <v/>
      </c>
    </row>
    <row r="26">
      <c r="D26" t="n">
        <v>0</v>
      </c>
      <c r="E26" s="3" t="n">
        <v>0</v>
      </c>
      <c r="F26" s="3">
        <f>D26*E26</f>
        <v/>
      </c>
    </row>
    <row r="27">
      <c r="D27" t="n">
        <v>0</v>
      </c>
      <c r="E27" s="3" t="n">
        <v>0</v>
      </c>
      <c r="F27" s="3">
        <f>D27*E27</f>
        <v/>
      </c>
    </row>
    <row r="28">
      <c r="D28" t="n">
        <v>0</v>
      </c>
      <c r="E28" s="3" t="n">
        <v>0</v>
      </c>
      <c r="F28" s="3">
        <f>D28*E28</f>
        <v/>
      </c>
    </row>
    <row r="29">
      <c r="D29" t="n">
        <v>0</v>
      </c>
      <c r="E29" s="3" t="n">
        <v>0</v>
      </c>
      <c r="F29" s="3">
        <f>D29*E29</f>
        <v/>
      </c>
    </row>
    <row r="30">
      <c r="D30" t="n">
        <v>0</v>
      </c>
      <c r="E30" s="3" t="n">
        <v>0</v>
      </c>
      <c r="F30" s="3">
        <f>D30*E30</f>
        <v/>
      </c>
    </row>
    <row r="32">
      <c r="E32" s="6" t="inlineStr">
        <is>
          <t>Total actual cost</t>
        </is>
      </c>
      <c r="F32" s="7">
        <f>SUM(F7:F30)</f>
        <v/>
      </c>
    </row>
    <row r="33">
      <c r="E33" s="6" t="inlineStr">
        <is>
          <t>Gross profit</t>
        </is>
      </c>
      <c r="F33" s="7">
        <f>E4-F32</f>
        <v/>
      </c>
    </row>
    <row r="34">
      <c r="E34" s="6" t="inlineStr">
        <is>
          <t>Actual gross margin</t>
        </is>
      </c>
      <c r="F34" s="8">
        <f>IFERROR(F33/E4,0)</f>
        <v/>
      </c>
    </row>
    <row r="35">
      <c r="E35" s="6" t="inlineStr">
        <is>
          <t>Target price at target margin</t>
        </is>
      </c>
      <c r="F35" s="7">
        <f>IFERROR(F32/(1-H4),0)</f>
        <v/>
      </c>
    </row>
    <row r="36">
      <c r="E36" s="6" t="inlineStr">
        <is>
          <t>Billable cost</t>
        </is>
      </c>
      <c r="F36" s="7">
        <f>SUMIF(G7:G30,"Yes",F7:F30)</f>
        <v/>
      </c>
    </row>
    <row r="39">
      <c r="A39" s="6" t="inlineStr">
        <is>
          <t>How to use</t>
        </is>
      </c>
    </row>
    <row r="40">
      <c r="A40" s="9" t="inlineStr">
        <is>
          <t>Replace the sample quote amount and sample cost rows. Add labour, materials, subcontractors, permits, travel and other direct costs. Gross profit here is quote amount less recorded costs; it is not net profit and excludes overhead, financing, warranty callbacks and income tax. Verify formulas and accounting treatment for each business.</t>
        </is>
      </c>
    </row>
    <row r="41"/>
    <row r="42"/>
  </sheetData>
  <mergeCells count="3">
    <mergeCell ref="A2:H2"/>
    <mergeCell ref="A40:H42"/>
    <mergeCell ref="A1:H1"/>
  </mergeCells>
  <dataValidations count="1">
    <dataValidation sqref="G7:G3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2026-10-27T00:48:16Z</dcterms:created>
  <dcterms:modified xmlns:dcterms="http://purl.org/dc/terms/" xmlns:xsi="http://www.w3.org/2001/XMLSchema-instance" xsi:type="dcterms:W3CDTF">2026-10-27T00:48:16Z</dcterms:modified>
</cp:coreProperties>
</file>